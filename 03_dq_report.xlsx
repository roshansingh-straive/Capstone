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Q Scorecard" sheetId="1" r:id="rId5"/>
  </sheets>
  <definedNames/>
  <calcPr/>
</workbook>
</file>

<file path=xl/sharedStrings.xml><?xml version="1.0" encoding="utf-8"?>
<sst xmlns="http://schemas.openxmlformats.org/spreadsheetml/2006/main" count="190" uniqueCount="113">
  <si>
    <t>AstraPay Data Quality Scorecard</t>
  </si>
  <si>
    <t>Checks</t>
  </si>
  <si>
    <t>Blocking</t>
  </si>
  <si>
    <t>Warnings</t>
  </si>
  <si>
    <t>Passed checks</t>
  </si>
  <si>
    <t>Check ID</t>
  </si>
  <si>
    <t>Dimension</t>
  </si>
  <si>
    <t>Dataset</t>
  </si>
  <si>
    <t>Field or rule</t>
  </si>
  <si>
    <t>Population</t>
  </si>
  <si>
    <t>Defect count</t>
  </si>
  <si>
    <t>Defect rate</t>
  </si>
  <si>
    <t>Severity</t>
  </si>
  <si>
    <t>Treatment</t>
  </si>
  <si>
    <t>Business impact</t>
  </si>
  <si>
    <t>C01</t>
  </si>
  <si>
    <t>Completeness</t>
  </si>
  <si>
    <t>TRANSACTION_DATA</t>
  </si>
  <si>
    <t>merchant_id is missing</t>
  </si>
  <si>
    <t>Warning</t>
  </si>
  <si>
    <t>Retain with a flag</t>
  </si>
  <si>
    <t>Company totals remain usable. Merchant analysis excludes these rows.</t>
  </si>
  <si>
    <t>C02</t>
  </si>
  <si>
    <t>transaction_id, customer_id or route_id is missing</t>
  </si>
  <si>
    <t>Informational</t>
  </si>
  <si>
    <t>No action</t>
  </si>
  <si>
    <t>Required identifiers are present.</t>
  </si>
  <si>
    <t>C03</t>
  </si>
  <si>
    <t>amount, currency, status or created_at is missing</t>
  </si>
  <si>
    <t>Critical transaction fields are present.</t>
  </si>
  <si>
    <t>C04</t>
  </si>
  <si>
    <t>SETTLEMENT</t>
  </si>
  <si>
    <t>Successful transaction has no settlement</t>
  </si>
  <si>
    <t>Settlement fees and settled amounts are unavailable for these payments.</t>
  </si>
  <si>
    <t>C05</t>
  </si>
  <si>
    <t>ROUTE_COST</t>
  </si>
  <si>
    <t>Cost effective date is unavailable</t>
  </si>
  <si>
    <t>Static route comparison is possible. Historical cost changes cannot be concluded.</t>
  </si>
  <si>
    <t>V01</t>
  </si>
  <si>
    <t>Validity</t>
  </si>
  <si>
    <t>Zero amount with FAILED status</t>
  </si>
  <si>
    <t>Count as attempts but not as payment volume.</t>
  </si>
  <si>
    <t>V02</t>
  </si>
  <si>
    <t>Zero amount with SUCCESS status</t>
  </si>
  <si>
    <t>Quarantine</t>
  </si>
  <si>
    <t>Successful volume and profit per success can be distorted.</t>
  </si>
  <si>
    <t>V03</t>
  </si>
  <si>
    <t>Negative amount with REVERSED status</t>
  </si>
  <si>
    <t>Treat as reversal, not as an ordinary payment attempt value.</t>
  </si>
  <si>
    <t>V04</t>
  </si>
  <si>
    <t>Negative amount with non-REVERSED status</t>
  </si>
  <si>
    <t>The status and monetary direction disagree.</t>
  </si>
  <si>
    <t>V05</t>
  </si>
  <si>
    <t>FRAUD_DECISION</t>
  </si>
  <si>
    <t>risk_score is outside 0 to 1</t>
  </si>
  <si>
    <t>Exclude the score row from score analysis. Keep the underlying transaction.</t>
  </si>
  <si>
    <t>V06</t>
  </si>
  <si>
    <t>CHARGEBACK</t>
  </si>
  <si>
    <t>Chargeback amount is zero or negative</t>
  </si>
  <si>
    <t>Chargeback exposure would be understated or reversed incorrectly.</t>
  </si>
  <si>
    <t>V07</t>
  </si>
  <si>
    <t>PAYMENT_EVENT</t>
  </si>
  <si>
    <t>processing_ms is negative</t>
  </si>
  <si>
    <t>No negative processing duration was found.</t>
  </si>
  <si>
    <t>V08</t>
  </si>
  <si>
    <t>FX_RATE</t>
  </si>
  <si>
    <t>rate_to_usd is zero or negative</t>
  </si>
  <si>
    <t>All supplied FX rates are positive.</t>
  </si>
  <si>
    <t>V09</t>
  </si>
  <si>
    <t>resolved_at is before opened_at</t>
  </si>
  <si>
    <t>No reversed chargeback date sequence was found.</t>
  </si>
  <si>
    <t>U01</t>
  </si>
  <si>
    <t>Uniqueness</t>
  </si>
  <si>
    <t>Duplicate transaction_id rows</t>
  </si>
  <si>
    <t>Use one canonical transaction row and isolate duplicate copies.</t>
  </si>
  <si>
    <t>U02</t>
  </si>
  <si>
    <t>Exact duplicate event rows</t>
  </si>
  <si>
    <t>Exclude</t>
  </si>
  <si>
    <t>Remove duplicate copies before event aggregation. Preserve raw rows for audit.</t>
  </si>
  <si>
    <t>U03</t>
  </si>
  <si>
    <t>MERCHANT_RISK_SNAPSHOT</t>
  </si>
  <si>
    <t>Duplicate merchant_id and snapshot_month</t>
  </si>
  <si>
    <t>An as-of join may attach more than one risk row to a transaction.</t>
  </si>
  <si>
    <t>U04</t>
  </si>
  <si>
    <t>MASTER AND FX TABLES</t>
  </si>
  <si>
    <t>Duplicate declared primary keys</t>
  </si>
  <si>
    <t>Customer, merchant, route, chargeback and FX keys are unique.</t>
  </si>
  <si>
    <t>S01</t>
  </si>
  <si>
    <t>Consistency</t>
  </si>
  <si>
    <t>Nonblank customer, merchant or route key is orphaned</t>
  </si>
  <si>
    <t>All populated transaction join keys match their master table.</t>
  </si>
  <si>
    <t>S02</t>
  </si>
  <si>
    <t>CHILD TABLES</t>
  </si>
  <si>
    <t>transaction_id is missing from transaction base</t>
  </si>
  <si>
    <t>Event, fraud, settlement and chargeback rows match a transaction.</t>
  </si>
  <si>
    <t>S03</t>
  </si>
  <si>
    <t>risk_score and risk_band disagree</t>
  </si>
  <si>
    <t>Risk band agrees with the documented score thresholds.</t>
  </si>
  <si>
    <t>S04</t>
  </si>
  <si>
    <t>Date and currency has multiple rate types</t>
  </si>
  <si>
    <t>Filter MID, SETTLEMENT or CARD before joining. This is valid source data but a join risk.</t>
  </si>
  <si>
    <t>T01</t>
  </si>
  <si>
    <t>Timeliness</t>
  </si>
  <si>
    <t>Ingestion is more than two days after event_time</t>
  </si>
  <si>
    <t>Recent operational reports may change when late events arrive.</t>
  </si>
  <si>
    <t>R01</t>
  </si>
  <si>
    <t>Reconciliation</t>
  </si>
  <si>
    <t>Transaction has multiple settlement rows</t>
  </si>
  <si>
    <t>Aggregate settlement rows before joining to transactions.</t>
  </si>
  <si>
    <t>R02</t>
  </si>
  <si>
    <t>Direct one-to-many join repeats transaction amount</t>
  </si>
  <si>
    <t>Repair</t>
  </si>
  <si>
    <t>Aggregate events to transaction_id first. A direct join inflates amount about 3.86 times.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</si>
</sst>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6.0"/>
      <color rgb="FF000000"/>
      <name val="Arial"/>
    </font>
    <font>
      <i/>
      <sz val="10.0"/>
      <color rgb="FF5F6368"/>
      <name val="Arial"/>
    </font>
    <font>
      <b/>
      <sz val="9.0"/>
      <color rgb="FF202124"/>
      <name val="Arial"/>
    </font>
    <font>
      <b/>
      <sz val="11.0"/>
      <color rgb="FF202124"/>
      <name val="Arial"/>
    </font>
    <font>
      <b/>
      <sz val="16.0"/>
      <color rgb="FF33278A"/>
      <name val="Arial"/>
    </font>
    <font>
      <b/>
      <sz val="10.0"/>
      <color rgb="FFFFFFFF"/>
      <name val="Arial"/>
    </font>
    <font>
      <sz val="10.0"/>
      <color rgb="FF202124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33278A"/>
        <bgColor rgb="FF33278A"/>
      </patternFill>
    </fill>
    <fill>
      <patternFill patternType="solid">
        <fgColor rgb="FFFFFFFF"/>
        <bgColor rgb="FFFFFFFF"/>
      </patternFill>
    </fill>
    <fill>
      <patternFill patternType="solid">
        <fgColor rgb="FFFFF4CC"/>
        <bgColor rgb="FFFFF4CC"/>
      </patternFill>
    </fill>
    <fill>
      <patternFill patternType="solid">
        <fgColor rgb="FFF3F4F6"/>
        <bgColor rgb="FFF3F4F6"/>
      </patternFill>
    </fill>
    <fill>
      <patternFill patternType="solid">
        <fgColor rgb="FFE6F4EA"/>
        <bgColor rgb="FFE6F4EA"/>
      </patternFill>
    </fill>
    <fill>
      <patternFill patternType="solid">
        <fgColor rgb="FFFCE8E6"/>
        <bgColor rgb="FFFCE8E6"/>
      </patternFill>
    </fill>
  </fills>
  <borders count="8">
    <border/>
    <border>
      <left style="thin">
        <color rgb="FFDADCE0"/>
      </left>
      <top style="thin">
        <color rgb="FFDADCE0"/>
      </top>
    </border>
    <border>
      <right style="thin">
        <color rgb="FFDADCE0"/>
      </right>
      <top style="thin">
        <color rgb="FFDADCE0"/>
      </top>
    </border>
    <border>
      <left style="thin">
        <color rgb="FFDADCE0"/>
      </left>
      <bottom style="thin">
        <color rgb="FFDADCE0"/>
      </bottom>
    </border>
    <border>
      <right style="thin">
        <color rgb="FFDADCE0"/>
      </right>
      <bottom style="thin">
        <color rgb="FFDADCE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3" fillId="2" fontId="4" numFmtId="0" xfId="0" applyAlignment="1" applyBorder="1" applyFill="1" applyFont="1">
      <alignment horizontal="center" vertical="center"/>
    </xf>
    <xf borderId="4" fillId="2" fontId="5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horizontal="center" vertical="center"/>
    </xf>
    <xf borderId="5" fillId="3" fontId="6" numFmtId="0" xfId="0" applyAlignment="1" applyBorder="1" applyFill="1" applyFont="1">
      <alignment horizontal="center" readingOrder="0" shrinkToFit="0" vertical="center" wrapText="1"/>
    </xf>
    <xf borderId="6" fillId="4" fontId="7" numFmtId="0" xfId="0" applyAlignment="1" applyBorder="1" applyFill="1" applyFont="1">
      <alignment shrinkToFit="0" vertical="center" wrapText="1"/>
    </xf>
    <xf borderId="6" fillId="4" fontId="7" numFmtId="3" xfId="0" applyAlignment="1" applyBorder="1" applyFill="1" applyFont="1" applyNumberFormat="1">
      <alignment shrinkToFit="0" vertical="center" wrapText="1"/>
    </xf>
    <xf borderId="6" fillId="4" fontId="7" numFmtId="10" xfId="0" applyAlignment="1" applyBorder="1" applyFill="1" applyFont="1" applyNumberFormat="1">
      <alignment shrinkToFit="0" vertical="center" wrapText="1"/>
    </xf>
    <xf borderId="6" fillId="5" fontId="7" numFmtId="0" xfId="0" applyAlignment="1" applyBorder="1" applyFill="1" applyFont="1">
      <alignment horizontal="center" shrinkToFit="0" vertical="center" wrapText="1"/>
    </xf>
    <xf borderId="7" fillId="6" fontId="7" numFmtId="0" xfId="0" applyAlignment="1" applyBorder="1" applyFill="1" applyFont="1">
      <alignment shrinkToFit="0" vertical="center" wrapText="1"/>
    </xf>
    <xf borderId="7" fillId="6" fontId="7" numFmtId="3" xfId="0" applyAlignment="1" applyBorder="1" applyFill="1" applyFont="1" applyNumberFormat="1">
      <alignment shrinkToFit="0" vertical="center" wrapText="1"/>
    </xf>
    <xf borderId="7" fillId="6" fontId="7" numFmtId="10" xfId="0" applyAlignment="1" applyBorder="1" applyFill="1" applyFont="1" applyNumberFormat="1">
      <alignment shrinkToFit="0" vertical="center" wrapText="1"/>
    </xf>
    <xf borderId="7" fillId="7" fontId="7" numFmtId="0" xfId="0" applyAlignment="1" applyBorder="1" applyFill="1" applyFont="1">
      <alignment horizontal="center" shrinkToFit="0" vertical="center" wrapText="1"/>
    </xf>
    <xf borderId="7" fillId="4" fontId="7" numFmtId="0" xfId="0" applyAlignment="1" applyBorder="1" applyFill="1" applyFont="1">
      <alignment shrinkToFit="0" vertical="center" wrapText="1"/>
    </xf>
    <xf borderId="7" fillId="4" fontId="7" numFmtId="3" xfId="0" applyAlignment="1" applyBorder="1" applyFill="1" applyFont="1" applyNumberFormat="1">
      <alignment shrinkToFit="0" vertical="center" wrapText="1"/>
    </xf>
    <xf borderId="7" fillId="4" fontId="7" numFmtId="10" xfId="0" applyAlignment="1" applyBorder="1" applyFill="1" applyFont="1" applyNumberFormat="1">
      <alignment shrinkToFit="0" vertical="center" wrapText="1"/>
    </xf>
    <xf borderId="7" fillId="5" fontId="7" numFmtId="0" xfId="0" applyAlignment="1" applyBorder="1" applyFill="1" applyFont="1">
      <alignment horizontal="center" shrinkToFit="0" vertical="center" wrapText="1"/>
    </xf>
    <xf borderId="7" fillId="8" fontId="7" numFmtId="0" xfId="0" applyAlignment="1" applyBorder="1" applyFill="1" applyFont="1">
      <alignment horizontal="center" shrinkToFit="0" vertical="center" wrapText="1"/>
    </xf>
    <xf borderId="7" fillId="2" fontId="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Q Scorec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J33" displayName="DQScorecardTable" name="DQScorecardTable" id="1">
  <tableColumns count="10">
    <tableColumn name="Check ID" id="1"/>
    <tableColumn name="Dimension" id="2"/>
    <tableColumn name="Dataset" id="3"/>
    <tableColumn name="Field or rule" id="4"/>
    <tableColumn name="Population" id="5"/>
    <tableColumn name="Defect count" id="6"/>
    <tableColumn name="Defect rate" id="7"/>
    <tableColumn name="Severity" id="8"/>
    <tableColumn name="Treatment" id="9"/>
    <tableColumn name="Business impact" id="10"/>
  </tableColumns>
  <tableStyleInfo name="DQ Scorec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2.0"/>
    <col customWidth="1" min="2" max="2" width="18.0"/>
    <col customWidth="1" min="3" max="3" width="28.0"/>
    <col customWidth="1" min="4" max="4" width="42.0"/>
    <col customWidth="1" min="5" max="5" width="15.0"/>
    <col customWidth="1" min="6" max="7" width="16.0"/>
    <col customWidth="1" min="8" max="8" width="20.0"/>
    <col customWidth="1" min="9" max="9" width="22.0"/>
    <col customWidth="1" min="10" max="10" width="23.0"/>
    <col customWidth="1" min="11" max="11" width="52.0"/>
    <col customWidth="1" min="12" max="12" width="19.0"/>
    <col customWidth="1" min="13" max="26" width="8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</v>
      </c>
      <c r="B4" s="4"/>
      <c r="C4" s="3" t="s">
        <v>2</v>
      </c>
      <c r="D4" s="4"/>
      <c r="E4" s="3" t="s">
        <v>3</v>
      </c>
      <c r="F4" s="4"/>
      <c r="G4" s="3" t="s">
        <v>4</v>
      </c>
      <c r="H4" s="4"/>
    </row>
    <row r="5">
      <c r="A5" s="5"/>
      <c r="B5" s="6">
        <f>COUNTA(A9:A33)</f>
        <v>25</v>
      </c>
      <c r="C5" s="5"/>
      <c r="D5" s="7">
        <f>COUNTIF(H9:H33,"Blocking")</f>
        <v>8</v>
      </c>
      <c r="E5" s="5"/>
      <c r="F5" s="7">
        <f>COUNTIF(H9:H33,"Warning")</f>
        <v>6</v>
      </c>
      <c r="G5" s="5"/>
      <c r="H5" s="7">
        <f>COUNTIF(#REF!,"Passed")</f>
        <v>0</v>
      </c>
    </row>
    <row r="8" ht="28.5" customHeight="1">
      <c r="A8" s="8" t="s">
        <v>5</v>
      </c>
      <c r="B8" s="8" t="s">
        <v>6</v>
      </c>
      <c r="C8" s="8" t="s">
        <v>7</v>
      </c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</row>
    <row r="9" ht="49.5" customHeight="1">
      <c r="A9" s="9" t="s">
        <v>15</v>
      </c>
      <c r="B9" s="9" t="s">
        <v>16</v>
      </c>
      <c r="C9" s="9" t="s">
        <v>17</v>
      </c>
      <c r="D9" s="9" t="s">
        <v>18</v>
      </c>
      <c r="E9" s="10">
        <v>50000.0</v>
      </c>
      <c r="F9" s="10">
        <v>401.0</v>
      </c>
      <c r="G9" s="11">
        <f t="shared" ref="G9:G33" si="1">IF(E9=0,"",F9/E9)</f>
        <v>0.00802</v>
      </c>
      <c r="H9" s="12" t="s">
        <v>19</v>
      </c>
      <c r="I9" s="9" t="s">
        <v>20</v>
      </c>
      <c r="J9" s="9" t="s">
        <v>21</v>
      </c>
    </row>
    <row r="10" ht="49.5" customHeight="1">
      <c r="A10" s="13" t="s">
        <v>22</v>
      </c>
      <c r="B10" s="13" t="s">
        <v>16</v>
      </c>
      <c r="C10" s="13" t="s">
        <v>17</v>
      </c>
      <c r="D10" s="13" t="s">
        <v>23</v>
      </c>
      <c r="E10" s="14">
        <v>50000.0</v>
      </c>
      <c r="F10" s="14">
        <v>0.0</v>
      </c>
      <c r="G10" s="15">
        <f t="shared" si="1"/>
        <v>0</v>
      </c>
      <c r="H10" s="16" t="s">
        <v>24</v>
      </c>
      <c r="I10" s="13" t="s">
        <v>25</v>
      </c>
      <c r="J10" s="13" t="s">
        <v>26</v>
      </c>
    </row>
    <row r="11" ht="49.5" customHeight="1">
      <c r="A11" s="17" t="s">
        <v>27</v>
      </c>
      <c r="B11" s="17" t="s">
        <v>16</v>
      </c>
      <c r="C11" s="17" t="s">
        <v>17</v>
      </c>
      <c r="D11" s="17" t="s">
        <v>28</v>
      </c>
      <c r="E11" s="18">
        <v>50000.0</v>
      </c>
      <c r="F11" s="18">
        <v>0.0</v>
      </c>
      <c r="G11" s="19">
        <f t="shared" si="1"/>
        <v>0</v>
      </c>
      <c r="H11" s="16" t="s">
        <v>24</v>
      </c>
      <c r="I11" s="17" t="s">
        <v>25</v>
      </c>
      <c r="J11" s="17" t="s">
        <v>29</v>
      </c>
    </row>
    <row r="12" ht="49.5" customHeight="1">
      <c r="A12" s="13" t="s">
        <v>30</v>
      </c>
      <c r="B12" s="13" t="s">
        <v>16</v>
      </c>
      <c r="C12" s="13" t="s">
        <v>31</v>
      </c>
      <c r="D12" s="13" t="s">
        <v>32</v>
      </c>
      <c r="E12" s="14">
        <v>44355.0</v>
      </c>
      <c r="F12" s="14">
        <v>2860.0</v>
      </c>
      <c r="G12" s="15">
        <f t="shared" si="1"/>
        <v>0.06447976553</v>
      </c>
      <c r="H12" s="20" t="s">
        <v>19</v>
      </c>
      <c r="I12" s="13" t="s">
        <v>20</v>
      </c>
      <c r="J12" s="13" t="s">
        <v>33</v>
      </c>
    </row>
    <row r="13" ht="49.5" customHeight="1">
      <c r="A13" s="17" t="s">
        <v>34</v>
      </c>
      <c r="B13" s="17" t="s">
        <v>16</v>
      </c>
      <c r="C13" s="17" t="s">
        <v>35</v>
      </c>
      <c r="D13" s="17" t="s">
        <v>36</v>
      </c>
      <c r="E13" s="18">
        <v>15.0</v>
      </c>
      <c r="F13" s="18">
        <v>15.0</v>
      </c>
      <c r="G13" s="19">
        <f t="shared" si="1"/>
        <v>1</v>
      </c>
      <c r="H13" s="21" t="s">
        <v>2</v>
      </c>
      <c r="I13" s="17" t="s">
        <v>20</v>
      </c>
      <c r="J13" s="17" t="s">
        <v>37</v>
      </c>
    </row>
    <row r="14" ht="49.5" customHeight="1">
      <c r="A14" s="13" t="s">
        <v>38</v>
      </c>
      <c r="B14" s="13" t="s">
        <v>39</v>
      </c>
      <c r="C14" s="13" t="s">
        <v>17</v>
      </c>
      <c r="D14" s="13" t="s">
        <v>40</v>
      </c>
      <c r="E14" s="14">
        <v>50000.0</v>
      </c>
      <c r="F14" s="14">
        <v>101.0</v>
      </c>
      <c r="G14" s="15">
        <f t="shared" si="1"/>
        <v>0.00202</v>
      </c>
      <c r="H14" s="22" t="s">
        <v>24</v>
      </c>
      <c r="I14" s="13" t="s">
        <v>20</v>
      </c>
      <c r="J14" s="13" t="s">
        <v>41</v>
      </c>
    </row>
    <row r="15" ht="49.5" customHeight="1">
      <c r="A15" s="17" t="s">
        <v>42</v>
      </c>
      <c r="B15" s="17" t="s">
        <v>39</v>
      </c>
      <c r="C15" s="17" t="s">
        <v>17</v>
      </c>
      <c r="D15" s="17" t="s">
        <v>43</v>
      </c>
      <c r="E15" s="18">
        <v>50000.0</v>
      </c>
      <c r="F15" s="18">
        <v>13.0</v>
      </c>
      <c r="G15" s="19">
        <f t="shared" si="1"/>
        <v>0.00026</v>
      </c>
      <c r="H15" s="21" t="s">
        <v>2</v>
      </c>
      <c r="I15" s="17" t="s">
        <v>44</v>
      </c>
      <c r="J15" s="17" t="s">
        <v>45</v>
      </c>
    </row>
    <row r="16" ht="49.5" customHeight="1">
      <c r="A16" s="13" t="s">
        <v>46</v>
      </c>
      <c r="B16" s="13" t="s">
        <v>39</v>
      </c>
      <c r="C16" s="13" t="s">
        <v>17</v>
      </c>
      <c r="D16" s="13" t="s">
        <v>47</v>
      </c>
      <c r="E16" s="14">
        <v>50000.0</v>
      </c>
      <c r="F16" s="14">
        <v>228.0</v>
      </c>
      <c r="G16" s="15">
        <f t="shared" si="1"/>
        <v>0.00456</v>
      </c>
      <c r="H16" s="22" t="s">
        <v>24</v>
      </c>
      <c r="I16" s="13" t="s">
        <v>20</v>
      </c>
      <c r="J16" s="13" t="s">
        <v>48</v>
      </c>
    </row>
    <row r="17" ht="49.5" customHeight="1">
      <c r="A17" s="17" t="s">
        <v>49</v>
      </c>
      <c r="B17" s="17" t="s">
        <v>39</v>
      </c>
      <c r="C17" s="17" t="s">
        <v>17</v>
      </c>
      <c r="D17" s="17" t="s">
        <v>50</v>
      </c>
      <c r="E17" s="18">
        <v>50000.0</v>
      </c>
      <c r="F17" s="18">
        <v>70.0</v>
      </c>
      <c r="G17" s="19">
        <f t="shared" si="1"/>
        <v>0.0014</v>
      </c>
      <c r="H17" s="21" t="s">
        <v>2</v>
      </c>
      <c r="I17" s="17" t="s">
        <v>44</v>
      </c>
      <c r="J17" s="17" t="s">
        <v>51</v>
      </c>
    </row>
    <row r="18" ht="49.5" customHeight="1">
      <c r="A18" s="13" t="s">
        <v>52</v>
      </c>
      <c r="B18" s="13" t="s">
        <v>39</v>
      </c>
      <c r="C18" s="13" t="s">
        <v>53</v>
      </c>
      <c r="D18" s="13" t="s">
        <v>54</v>
      </c>
      <c r="E18" s="14">
        <v>52761.0</v>
      </c>
      <c r="F18" s="14">
        <v>545.0</v>
      </c>
      <c r="G18" s="15">
        <f t="shared" si="1"/>
        <v>0.01032959951</v>
      </c>
      <c r="H18" s="21" t="s">
        <v>2</v>
      </c>
      <c r="I18" s="13" t="s">
        <v>44</v>
      </c>
      <c r="J18" s="13" t="s">
        <v>55</v>
      </c>
    </row>
    <row r="19" ht="49.5" customHeight="1">
      <c r="A19" s="17" t="s">
        <v>56</v>
      </c>
      <c r="B19" s="17" t="s">
        <v>39</v>
      </c>
      <c r="C19" s="17" t="s">
        <v>57</v>
      </c>
      <c r="D19" s="17" t="s">
        <v>58</v>
      </c>
      <c r="E19" s="18">
        <v>757.0</v>
      </c>
      <c r="F19" s="18">
        <v>3.0</v>
      </c>
      <c r="G19" s="19">
        <f t="shared" si="1"/>
        <v>0.003963011889</v>
      </c>
      <c r="H19" s="21" t="s">
        <v>2</v>
      </c>
      <c r="I19" s="17" t="s">
        <v>44</v>
      </c>
      <c r="J19" s="17" t="s">
        <v>59</v>
      </c>
    </row>
    <row r="20" ht="49.5" customHeight="1">
      <c r="A20" s="13" t="s">
        <v>60</v>
      </c>
      <c r="B20" s="13" t="s">
        <v>39</v>
      </c>
      <c r="C20" s="13" t="s">
        <v>61</v>
      </c>
      <c r="D20" s="13" t="s">
        <v>62</v>
      </c>
      <c r="E20" s="14">
        <v>193203.0</v>
      </c>
      <c r="F20" s="14">
        <v>0.0</v>
      </c>
      <c r="G20" s="15">
        <f t="shared" si="1"/>
        <v>0</v>
      </c>
      <c r="H20" s="16" t="s">
        <v>24</v>
      </c>
      <c r="I20" s="13" t="s">
        <v>25</v>
      </c>
      <c r="J20" s="13" t="s">
        <v>63</v>
      </c>
    </row>
    <row r="21" ht="49.5" customHeight="1">
      <c r="A21" s="17" t="s">
        <v>64</v>
      </c>
      <c r="B21" s="17" t="s">
        <v>39</v>
      </c>
      <c r="C21" s="17" t="s">
        <v>65</v>
      </c>
      <c r="D21" s="17" t="s">
        <v>66</v>
      </c>
      <c r="E21" s="18">
        <v>2172.0</v>
      </c>
      <c r="F21" s="18">
        <v>0.0</v>
      </c>
      <c r="G21" s="19">
        <f t="shared" si="1"/>
        <v>0</v>
      </c>
      <c r="H21" s="16" t="s">
        <v>24</v>
      </c>
      <c r="I21" s="17" t="s">
        <v>25</v>
      </c>
      <c r="J21" s="17" t="s">
        <v>67</v>
      </c>
    </row>
    <row r="22" ht="49.5" customHeight="1">
      <c r="A22" s="13" t="s">
        <v>68</v>
      </c>
      <c r="B22" s="13" t="s">
        <v>39</v>
      </c>
      <c r="C22" s="13" t="s">
        <v>57</v>
      </c>
      <c r="D22" s="13" t="s">
        <v>69</v>
      </c>
      <c r="E22" s="14">
        <v>757.0</v>
      </c>
      <c r="F22" s="14">
        <v>0.0</v>
      </c>
      <c r="G22" s="15">
        <f t="shared" si="1"/>
        <v>0</v>
      </c>
      <c r="H22" s="16" t="s">
        <v>24</v>
      </c>
      <c r="I22" s="13" t="s">
        <v>25</v>
      </c>
      <c r="J22" s="13" t="s">
        <v>70</v>
      </c>
    </row>
    <row r="23" ht="49.5" customHeight="1">
      <c r="A23" s="17" t="s">
        <v>71</v>
      </c>
      <c r="B23" s="17" t="s">
        <v>72</v>
      </c>
      <c r="C23" s="17" t="s">
        <v>17</v>
      </c>
      <c r="D23" s="17" t="s">
        <v>73</v>
      </c>
      <c r="E23" s="18">
        <v>50000.0</v>
      </c>
      <c r="F23" s="18">
        <v>20.0</v>
      </c>
      <c r="G23" s="19">
        <f t="shared" si="1"/>
        <v>0.0004</v>
      </c>
      <c r="H23" s="21" t="s">
        <v>2</v>
      </c>
      <c r="I23" s="17" t="s">
        <v>44</v>
      </c>
      <c r="J23" s="17" t="s">
        <v>74</v>
      </c>
    </row>
    <row r="24" ht="49.5" customHeight="1">
      <c r="A24" s="13" t="s">
        <v>75</v>
      </c>
      <c r="B24" s="13" t="s">
        <v>72</v>
      </c>
      <c r="C24" s="13" t="s">
        <v>61</v>
      </c>
      <c r="D24" s="13" t="s">
        <v>76</v>
      </c>
      <c r="E24" s="14">
        <v>193203.0</v>
      </c>
      <c r="F24" s="14">
        <v>305.0</v>
      </c>
      <c r="G24" s="15">
        <f t="shared" si="1"/>
        <v>0.001578650435</v>
      </c>
      <c r="H24" s="20" t="s">
        <v>19</v>
      </c>
      <c r="I24" s="13" t="s">
        <v>77</v>
      </c>
      <c r="J24" s="13" t="s">
        <v>78</v>
      </c>
    </row>
    <row r="25" ht="49.5" customHeight="1">
      <c r="A25" s="17" t="s">
        <v>79</v>
      </c>
      <c r="B25" s="17" t="s">
        <v>72</v>
      </c>
      <c r="C25" s="17" t="s">
        <v>80</v>
      </c>
      <c r="D25" s="17" t="s">
        <v>81</v>
      </c>
      <c r="E25" s="18">
        <v>2424.0</v>
      </c>
      <c r="F25" s="18">
        <v>24.0</v>
      </c>
      <c r="G25" s="19">
        <f t="shared" si="1"/>
        <v>0.009900990099</v>
      </c>
      <c r="H25" s="21" t="s">
        <v>2</v>
      </c>
      <c r="I25" s="17" t="s">
        <v>44</v>
      </c>
      <c r="J25" s="17" t="s">
        <v>82</v>
      </c>
    </row>
    <row r="26" ht="49.5" customHeight="1">
      <c r="A26" s="13" t="s">
        <v>83</v>
      </c>
      <c r="B26" s="13" t="s">
        <v>72</v>
      </c>
      <c r="C26" s="13" t="s">
        <v>84</v>
      </c>
      <c r="D26" s="13" t="s">
        <v>85</v>
      </c>
      <c r="E26" s="14">
        <v>5592.0</v>
      </c>
      <c r="F26" s="14">
        <v>0.0</v>
      </c>
      <c r="G26" s="15">
        <f t="shared" si="1"/>
        <v>0</v>
      </c>
      <c r="H26" s="16" t="s">
        <v>24</v>
      </c>
      <c r="I26" s="13" t="s">
        <v>25</v>
      </c>
      <c r="J26" s="13" t="s">
        <v>86</v>
      </c>
    </row>
    <row r="27" ht="49.5" customHeight="1">
      <c r="A27" s="17" t="s">
        <v>87</v>
      </c>
      <c r="B27" s="17" t="s">
        <v>88</v>
      </c>
      <c r="C27" s="17" t="s">
        <v>17</v>
      </c>
      <c r="D27" s="17" t="s">
        <v>89</v>
      </c>
      <c r="E27" s="18">
        <v>50000.0</v>
      </c>
      <c r="F27" s="18">
        <v>0.0</v>
      </c>
      <c r="G27" s="19">
        <f t="shared" si="1"/>
        <v>0</v>
      </c>
      <c r="H27" s="16" t="s">
        <v>24</v>
      </c>
      <c r="I27" s="17" t="s">
        <v>25</v>
      </c>
      <c r="J27" s="17" t="s">
        <v>90</v>
      </c>
    </row>
    <row r="28" ht="49.5" customHeight="1">
      <c r="A28" s="13" t="s">
        <v>91</v>
      </c>
      <c r="B28" s="13" t="s">
        <v>88</v>
      </c>
      <c r="C28" s="13" t="s">
        <v>92</v>
      </c>
      <c r="D28" s="13" t="s">
        <v>93</v>
      </c>
      <c r="E28" s="14">
        <v>290148.0</v>
      </c>
      <c r="F28" s="14">
        <v>0.0</v>
      </c>
      <c r="G28" s="15">
        <f t="shared" si="1"/>
        <v>0</v>
      </c>
      <c r="H28" s="16" t="s">
        <v>24</v>
      </c>
      <c r="I28" s="13" t="s">
        <v>25</v>
      </c>
      <c r="J28" s="13" t="s">
        <v>94</v>
      </c>
    </row>
    <row r="29" ht="49.5" customHeight="1">
      <c r="A29" s="17" t="s">
        <v>95</v>
      </c>
      <c r="B29" s="17" t="s">
        <v>88</v>
      </c>
      <c r="C29" s="17" t="s">
        <v>80</v>
      </c>
      <c r="D29" s="17" t="s">
        <v>96</v>
      </c>
      <c r="E29" s="18">
        <v>2424.0</v>
      </c>
      <c r="F29" s="18">
        <v>0.0</v>
      </c>
      <c r="G29" s="19">
        <f t="shared" si="1"/>
        <v>0</v>
      </c>
      <c r="H29" s="16" t="s">
        <v>24</v>
      </c>
      <c r="I29" s="17" t="s">
        <v>25</v>
      </c>
      <c r="J29" s="17" t="s">
        <v>97</v>
      </c>
    </row>
    <row r="30" ht="49.5" customHeight="1">
      <c r="A30" s="13" t="s">
        <v>98</v>
      </c>
      <c r="B30" s="13" t="s">
        <v>88</v>
      </c>
      <c r="C30" s="13" t="s">
        <v>65</v>
      </c>
      <c r="D30" s="13" t="s">
        <v>99</v>
      </c>
      <c r="E30" s="14">
        <v>724.0</v>
      </c>
      <c r="F30" s="14">
        <v>724.0</v>
      </c>
      <c r="G30" s="15">
        <f t="shared" si="1"/>
        <v>1</v>
      </c>
      <c r="H30" s="20" t="s">
        <v>19</v>
      </c>
      <c r="I30" s="13" t="s">
        <v>20</v>
      </c>
      <c r="J30" s="13" t="s">
        <v>100</v>
      </c>
    </row>
    <row r="31" ht="49.5" customHeight="1">
      <c r="A31" s="17" t="s">
        <v>101</v>
      </c>
      <c r="B31" s="17" t="s">
        <v>102</v>
      </c>
      <c r="C31" s="17" t="s">
        <v>61</v>
      </c>
      <c r="D31" s="17" t="s">
        <v>103</v>
      </c>
      <c r="E31" s="18">
        <v>193203.0</v>
      </c>
      <c r="F31" s="18">
        <v>4313.0</v>
      </c>
      <c r="G31" s="19">
        <f t="shared" si="1"/>
        <v>0.02232366992</v>
      </c>
      <c r="H31" s="20" t="s">
        <v>19</v>
      </c>
      <c r="I31" s="17" t="s">
        <v>20</v>
      </c>
      <c r="J31" s="17" t="s">
        <v>104</v>
      </c>
    </row>
    <row r="32" ht="49.5" customHeight="1">
      <c r="A32" s="13" t="s">
        <v>105</v>
      </c>
      <c r="B32" s="13" t="s">
        <v>106</v>
      </c>
      <c r="C32" s="13" t="s">
        <v>31</v>
      </c>
      <c r="D32" s="13" t="s">
        <v>107</v>
      </c>
      <c r="E32" s="14">
        <v>44355.0</v>
      </c>
      <c r="F32" s="14">
        <v>1912.0</v>
      </c>
      <c r="G32" s="15">
        <f t="shared" si="1"/>
        <v>0.04310675234</v>
      </c>
      <c r="H32" s="20" t="s">
        <v>19</v>
      </c>
      <c r="I32" s="13" t="s">
        <v>20</v>
      </c>
      <c r="J32" s="13" t="s">
        <v>108</v>
      </c>
    </row>
    <row r="33" ht="49.5" customHeight="1">
      <c r="A33" s="17" t="s">
        <v>109</v>
      </c>
      <c r="B33" s="17" t="s">
        <v>106</v>
      </c>
      <c r="C33" s="17" t="s">
        <v>61</v>
      </c>
      <c r="D33" s="17" t="s">
        <v>110</v>
      </c>
      <c r="E33" s="18">
        <v>49980.0</v>
      </c>
      <c r="F33" s="18">
        <v>49980.0</v>
      </c>
      <c r="G33" s="19">
        <f t="shared" si="1"/>
        <v>1</v>
      </c>
      <c r="H33" s="21" t="s">
        <v>2</v>
      </c>
      <c r="I33" s="17" t="s">
        <v>111</v>
      </c>
      <c r="J33" s="17" t="s">
        <v>112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